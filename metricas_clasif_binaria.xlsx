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cidata\25_DL_Py\practicas\"/>
    </mc:Choice>
  </mc:AlternateContent>
  <xr:revisionPtr revIDLastSave="0" documentId="8_{16CC16C6-0B7A-4B32-BA1A-9AFEA1AD9FD5}" xr6:coauthVersionLast="47" xr6:coauthVersionMax="47" xr10:uidLastSave="{00000000-0000-0000-0000-000000000000}"/>
  <bookViews>
    <workbookView xWindow="-120" yWindow="-120" windowWidth="20730" windowHeight="11160" xr2:uid="{DAD995A1-8A78-42D8-8F4F-288B56BB704D}"/>
  </bookViews>
  <sheets>
    <sheet name="Hoja1" sheetId="1" r:id="rId1"/>
  </sheets>
  <definedNames>
    <definedName name="_xlnm._FilterDatabase" localSheetId="0" hidden="1">Hoja1!$F$1:$F$23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F7" i="1"/>
  <c r="F8" i="1"/>
  <c r="E9" i="1"/>
  <c r="E10" i="1"/>
  <c r="F11" i="1"/>
  <c r="F12" i="1"/>
  <c r="E13" i="1"/>
  <c r="E14" i="1"/>
  <c r="E15" i="1"/>
  <c r="E16" i="1"/>
  <c r="E17" i="1"/>
  <c r="E18" i="1"/>
  <c r="E19" i="1"/>
  <c r="E20" i="1"/>
  <c r="E21" i="1"/>
  <c r="E22" i="1"/>
  <c r="F23" i="1"/>
  <c r="F2" i="1"/>
  <c r="F20" i="1" l="1"/>
  <c r="F19" i="1"/>
  <c r="E23" i="1"/>
  <c r="F4" i="1"/>
  <c r="I3" i="1"/>
  <c r="E2" i="1"/>
  <c r="E8" i="1"/>
  <c r="F16" i="1"/>
  <c r="E7" i="1"/>
  <c r="F15" i="1"/>
  <c r="F3" i="1"/>
  <c r="E12" i="1"/>
  <c r="E11" i="1"/>
  <c r="F18" i="1"/>
  <c r="F10" i="1"/>
  <c r="F17" i="1"/>
  <c r="F9" i="1"/>
  <c r="F22" i="1"/>
  <c r="F14" i="1"/>
  <c r="F6" i="1"/>
  <c r="F21" i="1"/>
  <c r="F13" i="1"/>
  <c r="F5" i="1"/>
  <c r="I4" i="1" l="1"/>
  <c r="I1" i="1"/>
  <c r="I2" i="1"/>
  <c r="I8" i="1" l="1"/>
  <c r="I6" i="1"/>
  <c r="I7" i="1"/>
  <c r="I9" i="1" l="1"/>
</calcChain>
</file>

<file path=xl/sharedStrings.xml><?xml version="1.0" encoding="utf-8"?>
<sst xmlns="http://schemas.openxmlformats.org/spreadsheetml/2006/main" count="14" uniqueCount="14">
  <si>
    <t>y</t>
  </si>
  <si>
    <t>pre y gorro</t>
  </si>
  <si>
    <t>umbral</t>
  </si>
  <si>
    <t>y gorro</t>
  </si>
  <si>
    <t>Tipo de error</t>
  </si>
  <si>
    <t>TP</t>
  </si>
  <si>
    <t>FP</t>
  </si>
  <si>
    <t>TN</t>
  </si>
  <si>
    <t>FN</t>
  </si>
  <si>
    <t>exactitud</t>
  </si>
  <si>
    <t>precisión</t>
  </si>
  <si>
    <t>sensibilidad</t>
  </si>
  <si>
    <t>F1</t>
  </si>
  <si>
    <t>y = y gorro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</si>
</sst>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094D-9D20-4FC5-9F5D-2D96E2B5ECEF}">
  <dimension ref="A1:I23"/>
  <sheetViews>
    <sheetView tabSelected="1" workbookViewId="0">
      <selection activeCell="B2" sqref="B2"/>
    </sheetView>
  </sheetViews>
  <sheetFormatPr baseColWidth="10" defaultRowHeight="15" x14ac:dyDescent="0.25"/>
  <cols>
    <col min="5" max="5" width="12.28515625" bestFit="1" customWidth="1"/>
    <col min="6" max="6" width="12.42578125" bestFit="1" customWidth="1"/>
  </cols>
  <sheetData>
    <row r="1" spans="1:9" x14ac:dyDescent="0.25">
      <c r="A1" t="s">
        <v>2</v>
      </c>
      <c r="B1" t="s">
        <v>0</v>
      </c>
      <c r="C1" t="s">
        <v>1</v>
      </c>
      <c r="D1" t="s">
        <v>3</v>
      </c>
      <c r="E1" t="s">
        <v>13</v>
      </c>
      <c r="F1" t="s">
        <v>4</v>
      </c>
      <c r="H1" t="s">
        <v>5</v>
      </c>
      <c r="I1">
        <f>COUNTIF($F$2:$F$23,H1)</f>
        <v>0</v>
      </c>
    </row>
    <row r="2" spans="1:9" x14ac:dyDescent="0.25">
      <c r="A2">
        <v>0.5</v>
      </c>
      <c r="E2" t="b">
        <f>B2=D2</f>
        <v>1</v>
      </c>
      <c r="F2" t="str">
        <f>IF(AND(B2=1,D2=1),"TP",
 IF(AND(B2=0,D2=1),"FP",
  IF(AND(B2=1,D2=0),"FN",
   "TN")))</f>
        <v>TN</v>
      </c>
      <c r="H2" t="s">
        <v>6</v>
      </c>
      <c r="I2">
        <f>COUNTIF($F$2:$F$23,H2)</f>
        <v>0</v>
      </c>
    </row>
    <row r="3" spans="1:9" x14ac:dyDescent="0.25">
      <c r="E3" t="b">
        <f t="shared" ref="E3:E23" si="0">B3=D3</f>
        <v>1</v>
      </c>
      <c r="F3" t="str">
        <f t="shared" ref="F3:F23" si="1">IF(AND(B3=1,D3=1),"TP",
 IF(AND(B3=0,D3=1),"FP",
  IF(AND(B3=1,D3=0),"FN",
   "TN")))</f>
        <v>TN</v>
      </c>
      <c r="H3" t="s">
        <v>7</v>
      </c>
      <c r="I3">
        <f>COUNTIF($F$2:$F$23,H3)</f>
        <v>22</v>
      </c>
    </row>
    <row r="4" spans="1:9" x14ac:dyDescent="0.25">
      <c r="E4" t="b">
        <f t="shared" si="0"/>
        <v>1</v>
      </c>
      <c r="F4" t="str">
        <f t="shared" si="1"/>
        <v>TN</v>
      </c>
      <c r="H4" t="s">
        <v>8</v>
      </c>
      <c r="I4">
        <f>COUNTIF($F$2:$F$23,H4)</f>
        <v>0</v>
      </c>
    </row>
    <row r="5" spans="1:9" x14ac:dyDescent="0.25">
      <c r="E5" t="b">
        <f t="shared" si="0"/>
        <v>1</v>
      </c>
      <c r="F5" t="str">
        <f t="shared" si="1"/>
        <v>TN</v>
      </c>
    </row>
    <row r="6" spans="1:9" x14ac:dyDescent="0.25">
      <c r="E6" t="b">
        <f t="shared" si="0"/>
        <v>1</v>
      </c>
      <c r="F6" t="str">
        <f t="shared" si="1"/>
        <v>TN</v>
      </c>
      <c r="H6" t="s">
        <v>9</v>
      </c>
      <c r="I6">
        <f>(I1+I3)/SUM(I1:I4)</f>
        <v>1</v>
      </c>
    </row>
    <row r="7" spans="1:9" x14ac:dyDescent="0.25">
      <c r="E7" t="b">
        <f t="shared" si="0"/>
        <v>1</v>
      </c>
      <c r="F7" t="str">
        <f t="shared" si="1"/>
        <v>TN</v>
      </c>
      <c r="H7" t="s">
        <v>10</v>
      </c>
      <c r="I7" t="e">
        <f>I1/(I1+I2)</f>
        <v>#DIV/0!</v>
      </c>
    </row>
    <row r="8" spans="1:9" x14ac:dyDescent="0.25">
      <c r="E8" t="b">
        <f t="shared" si="0"/>
        <v>1</v>
      </c>
      <c r="F8" t="str">
        <f t="shared" si="1"/>
        <v>TN</v>
      </c>
      <c r="H8" t="s">
        <v>11</v>
      </c>
      <c r="I8" t="e">
        <f>I1/(I1+I4)</f>
        <v>#DIV/0!</v>
      </c>
    </row>
    <row r="9" spans="1:9" x14ac:dyDescent="0.25">
      <c r="E9" t="b">
        <f t="shared" si="0"/>
        <v>1</v>
      </c>
      <c r="F9" t="str">
        <f t="shared" si="1"/>
        <v>TN</v>
      </c>
      <c r="H9" t="s">
        <v>12</v>
      </c>
      <c r="I9" t="e">
        <f>2/(1/I7+1/I8)</f>
        <v>#DIV/0!</v>
      </c>
    </row>
    <row r="10" spans="1:9" x14ac:dyDescent="0.25">
      <c r="E10" t="b">
        <f t="shared" si="0"/>
        <v>1</v>
      </c>
      <c r="F10" t="str">
        <f t="shared" si="1"/>
        <v>TN</v>
      </c>
    </row>
    <row r="11" spans="1:9" x14ac:dyDescent="0.25">
      <c r="E11" t="b">
        <f t="shared" si="0"/>
        <v>1</v>
      </c>
      <c r="F11" t="str">
        <f t="shared" si="1"/>
        <v>TN</v>
      </c>
    </row>
    <row r="12" spans="1:9" x14ac:dyDescent="0.25">
      <c r="E12" t="b">
        <f t="shared" si="0"/>
        <v>1</v>
      </c>
      <c r="F12" t="str">
        <f t="shared" si="1"/>
        <v>TN</v>
      </c>
    </row>
    <row r="13" spans="1:9" x14ac:dyDescent="0.25">
      <c r="E13" t="b">
        <f t="shared" si="0"/>
        <v>1</v>
      </c>
      <c r="F13" t="str">
        <f t="shared" si="1"/>
        <v>TN</v>
      </c>
    </row>
    <row r="14" spans="1:9" x14ac:dyDescent="0.25">
      <c r="E14" t="b">
        <f t="shared" si="0"/>
        <v>1</v>
      </c>
      <c r="F14" t="str">
        <f t="shared" si="1"/>
        <v>TN</v>
      </c>
    </row>
    <row r="15" spans="1:9" x14ac:dyDescent="0.25">
      <c r="E15" t="b">
        <f t="shared" si="0"/>
        <v>1</v>
      </c>
      <c r="F15" t="str">
        <f t="shared" si="1"/>
        <v>TN</v>
      </c>
    </row>
    <row r="16" spans="1:9" x14ac:dyDescent="0.25">
      <c r="E16" t="b">
        <f t="shared" si="0"/>
        <v>1</v>
      </c>
      <c r="F16" t="str">
        <f t="shared" si="1"/>
        <v>TN</v>
      </c>
    </row>
    <row r="17" spans="5:6" x14ac:dyDescent="0.25">
      <c r="E17" t="b">
        <f t="shared" si="0"/>
        <v>1</v>
      </c>
      <c r="F17" t="str">
        <f t="shared" si="1"/>
        <v>TN</v>
      </c>
    </row>
    <row r="18" spans="5:6" x14ac:dyDescent="0.25">
      <c r="E18" t="b">
        <f t="shared" si="0"/>
        <v>1</v>
      </c>
      <c r="F18" t="str">
        <f t="shared" si="1"/>
        <v>TN</v>
      </c>
    </row>
    <row r="19" spans="5:6" x14ac:dyDescent="0.25">
      <c r="E19" t="b">
        <f t="shared" si="0"/>
        <v>1</v>
      </c>
      <c r="F19" t="str">
        <f t="shared" si="1"/>
        <v>TN</v>
      </c>
    </row>
    <row r="20" spans="5:6" x14ac:dyDescent="0.25">
      <c r="E20" t="b">
        <f t="shared" si="0"/>
        <v>1</v>
      </c>
      <c r="F20" t="str">
        <f t="shared" si="1"/>
        <v>TN</v>
      </c>
    </row>
    <row r="21" spans="5:6" x14ac:dyDescent="0.25">
      <c r="E21" t="b">
        <f t="shared" si="0"/>
        <v>1</v>
      </c>
      <c r="F21" t="str">
        <f t="shared" si="1"/>
        <v>TN</v>
      </c>
    </row>
    <row r="22" spans="5:6" x14ac:dyDescent="0.25">
      <c r="E22" t="b">
        <f t="shared" si="0"/>
        <v>1</v>
      </c>
      <c r="F22" t="str">
        <f t="shared" si="1"/>
        <v>TN</v>
      </c>
    </row>
    <row r="23" spans="5:6" x14ac:dyDescent="0.25">
      <c r="E23" t="b">
        <f t="shared" si="0"/>
        <v>1</v>
      </c>
      <c r="F23" t="str">
        <f t="shared" si="1"/>
        <v>TN</v>
      </c>
    </row>
  </sheetData>
  <conditionalFormatting sqref="E1:F1048576">
    <cfRule type="cellIs" dxfId="0" priority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2026-01-04T19:54:49Z</dcterms:created>
  <dcterms:modified xsi:type="dcterms:W3CDTF">2026-01-05T21:19:08Z</dcterms:modified>
</cp:coreProperties>
</file>